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ixa-my.sharepoint.com/personal/c136828_corp_caixa_gov_br/Documents/Documentos/"/>
    </mc:Choice>
  </mc:AlternateContent>
  <xr:revisionPtr revIDLastSave="0" documentId="8_{7C527F0C-DFC6-4F83-AF7E-DDCAFFA0479D}" xr6:coauthVersionLast="47" xr6:coauthVersionMax="47" xr10:uidLastSave="{00000000-0000-0000-0000-000000000000}"/>
  <bookViews>
    <workbookView xWindow="-110" yWindow="-110" windowWidth="19420" windowHeight="10300" xr2:uid="{39205004-04F2-4EDE-83F7-DFFBD8641A4A}"/>
  </bookViews>
  <sheets>
    <sheet name="Data" sheetId="1" r:id="rId1"/>
    <sheet name="Caixinha" sheetId="5" r:id="rId2"/>
    <sheet name="Controller" sheetId="4" r:id="rId3"/>
    <sheet name="Dashboard" sheetId="3" r:id="rId4"/>
  </sheets>
  <definedNames>
    <definedName name="SegmentaçãodeDados_Mês">#N/A</definedName>
  </definedNames>
  <calcPr calcId="191029"/>
  <pivotCaches>
    <pivotCache cacheId="1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5" l="1"/>
</calcChain>
</file>

<file path=xl/sharedStrings.xml><?xml version="1.0" encoding="utf-8"?>
<sst xmlns="http://schemas.openxmlformats.org/spreadsheetml/2006/main" count="105" uniqueCount="32">
  <si>
    <t>Data</t>
  </si>
  <si>
    <t>Tipo</t>
  </si>
  <si>
    <t xml:space="preserve">Descrição </t>
  </si>
  <si>
    <t>Valor</t>
  </si>
  <si>
    <t xml:space="preserve">Categoria </t>
  </si>
  <si>
    <t>Operação Bancaria</t>
  </si>
  <si>
    <t>Status</t>
  </si>
  <si>
    <t>Salario</t>
  </si>
  <si>
    <t>TED</t>
  </si>
  <si>
    <t xml:space="preserve">Entrada </t>
  </si>
  <si>
    <t>Saida</t>
  </si>
  <si>
    <t>Moradia</t>
  </si>
  <si>
    <t>Trabalho</t>
  </si>
  <si>
    <t>Aluguel</t>
  </si>
  <si>
    <t>PIX</t>
  </si>
  <si>
    <t>Condominio</t>
  </si>
  <si>
    <t xml:space="preserve">Boleto </t>
  </si>
  <si>
    <t>Pago</t>
  </si>
  <si>
    <t xml:space="preserve">internet </t>
  </si>
  <si>
    <t xml:space="preserve">Pendente </t>
  </si>
  <si>
    <t>Rótulos de Linha</t>
  </si>
  <si>
    <t>Total Geral</t>
  </si>
  <si>
    <t>Hotel (dezembro)</t>
  </si>
  <si>
    <t>Soma de Valor</t>
  </si>
  <si>
    <t>Pet</t>
  </si>
  <si>
    <t>Ração</t>
  </si>
  <si>
    <t>Cartão</t>
  </si>
  <si>
    <t>Mês</t>
  </si>
  <si>
    <t>Data de lançamento</t>
  </si>
  <si>
    <t xml:space="preserve">Depósito reservado </t>
  </si>
  <si>
    <t xml:space="preserve">Total reservado </t>
  </si>
  <si>
    <t xml:space="preserve">Meta de reserva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</si>
</sst>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  <xf numFmtId="0" fontId="0" fillId="0" borderId="0" xfId="0" applyNumberFormat="1" applyAlignment="1">
      <alignment horizontal="center" vertical="center"/>
    </xf>
    <xf numFmtId="0" fontId="0" fillId="3" borderId="0" xfId="0" applyFill="1"/>
    <xf numFmtId="14" fontId="0" fillId="0" borderId="0" xfId="0" applyNumberFormat="1"/>
    <xf numFmtId="44" fontId="0" fillId="0" borderId="0" xfId="1" applyFont="1"/>
    <xf numFmtId="0" fontId="0" fillId="4" borderId="1" xfId="0" applyFill="1" applyBorder="1"/>
    <xf numFmtId="44" fontId="0" fillId="4" borderId="1" xfId="1" applyFont="1" applyFill="1" applyBorder="1"/>
  </cellXfs>
  <cellStyles count="2">
    <cellStyle name="Moeda" xfId="1" builtinId="4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0"/>
      </font>
      <fill>
        <patternFill>
          <bgColor rgb="FFC00000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rgb="FFC00000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color theme="5" tint="0.79998168889431442"/>
      </font>
      <border>
        <bottom style="thin">
          <color theme="5"/>
        </bottom>
        <vertical/>
        <horizontal/>
      </border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3" defaultTableStyle="TableStyleMedium2" defaultPivotStyle="PivotStyleLight16">
    <tableStyle name="Outro" pivot="0" table="0" count="10" xr9:uid="{212153AB-050A-49A4-B7F1-7BF8B66F0E9D}">
      <tableStyleElement type="wholeTable" dxfId="3"/>
      <tableStyleElement type="headerRow" dxfId="2"/>
    </tableStyle>
    <tableStyle name="SlicerStyleDark2 2" pivot="0" table="0" count="10" xr9:uid="{0DEAA0CB-27BB-46FC-BFB6-486D2291A7CA}">
      <tableStyleElement type="wholeTable" dxfId="7"/>
      <tableStyleElement type="headerRow" dxfId="6"/>
    </tableStyle>
    <tableStyle name="SlicerStyleDark2 3" pivot="0" table="0" count="10" xr9:uid="{DF18269C-9AC0-4021-9F68-4C6BDAD8D3A1}">
      <tableStyleElement type="wholeTable" dxfId="5"/>
      <tableStyleElement type="headerRow" dxfId="4"/>
    </tableStyle>
  </tableStyles>
  <colors>
    <mruColors>
      <color rgb="FFCC0000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C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color auto="1"/>
          </font>
          <fill>
            <patternFill patternType="solid">
              <fgColor theme="0"/>
              <bgColor theme="5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/>
              <bgColor theme="5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/>
              <bgColor theme="5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Outro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StyleDark2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Dark2 3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Caixinha!$A$10</c:f>
              <c:strCache>
                <c:ptCount val="1"/>
                <c:pt idx="0">
                  <c:v>Total reservado 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Caixinha!$B$10</c:f>
              <c:numCache>
                <c:formatCode>_("R$"* #,##0.00_);_("R$"* \(#,##0.00\);_("R$"* "-"??_);_(@_)</c:formatCode>
                <c:ptCount val="1"/>
                <c:pt idx="0">
                  <c:v>1108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0-4A68-851F-BB1B2168DF8A}"/>
            </c:ext>
          </c:extLst>
        </c:ser>
        <c:ser>
          <c:idx val="1"/>
          <c:order val="1"/>
          <c:tx>
            <c:strRef>
              <c:f>Caixinha!$A$11</c:f>
              <c:strCache>
                <c:ptCount val="1"/>
                <c:pt idx="0">
                  <c:v>Meta de reserva 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Caixinha!$B$11</c:f>
              <c:numCache>
                <c:formatCode>_("R$"* #,##0.00_);_("R$"* \(#,##0.00\);_("R$"* "-"??_);_(@_)</c:formatCode>
                <c:ptCount val="1"/>
                <c:pt idx="0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0-4A68-851F-BB1B2168DF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70498688"/>
        <c:axId val="2034015280"/>
        <c:axId val="0"/>
      </c:bar3DChart>
      <c:catAx>
        <c:axId val="4704986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4015280"/>
        <c:crosses val="autoZero"/>
        <c:auto val="1"/>
        <c:lblAlgn val="ctr"/>
        <c:lblOffset val="100"/>
        <c:noMultiLvlLbl val="0"/>
      </c:catAx>
      <c:valAx>
        <c:axId val="2034015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47049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[Atividade - DIO curso.xlsx]Controller!Tabela dinâmica3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631189756465914"/>
          <c:y val="0.28962525517643628"/>
          <c:w val="0.80776596675415568"/>
          <c:h val="0.57555409740449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Controller!$B$3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Controller!$A$4:$A$6</c:f>
              <c:strCache>
                <c:ptCount val="2"/>
                <c:pt idx="0">
                  <c:v>Moradia</c:v>
                </c:pt>
                <c:pt idx="1">
                  <c:v>Pet</c:v>
                </c:pt>
              </c:strCache>
            </c:strRef>
          </c:cat>
          <c:val>
            <c:numRef>
              <c:f>Controller!$B$4:$B$6</c:f>
              <c:numCache>
                <c:formatCode>"R$"\ #,##0.00</c:formatCode>
                <c:ptCount val="2"/>
                <c:pt idx="0">
                  <c:v>3459</c:v>
                </c:pt>
                <c:pt idx="1">
                  <c:v>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C-4ED6-9685-2142CD421D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59891120"/>
        <c:axId val="2044664144"/>
      </c:barChart>
      <c:catAx>
        <c:axId val="15989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4664144"/>
        <c:crosses val="autoZero"/>
        <c:auto val="1"/>
        <c:lblAlgn val="ctr"/>
        <c:lblOffset val="100"/>
        <c:noMultiLvlLbl val="0"/>
      </c:catAx>
      <c:valAx>
        <c:axId val="2044664144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15989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[Atividade - DIO curso.xlsx]Controller!Tabela dinâmica4</c:name>
    <c:fmtId val="2"/>
  </c:pivotSource>
  <c:chart>
    <c:autoTitleDeleted val="1"/>
    <c:pivotFmts>
      <c:pivotFmt>
        <c:idx val="0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Controller!$F$3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Controller!$E$4:$E$5</c:f>
              <c:strCache>
                <c:ptCount val="1"/>
                <c:pt idx="0">
                  <c:v>Trabalho</c:v>
                </c:pt>
              </c:strCache>
            </c:strRef>
          </c:cat>
          <c:val>
            <c:numRef>
              <c:f>Controller!$F$4:$F$5</c:f>
              <c:numCache>
                <c:formatCode>"R$"\ #,##0.00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9-4597-9B34-B47CA4AA4A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335340864"/>
        <c:axId val="1343595392"/>
      </c:barChart>
      <c:catAx>
        <c:axId val="1335340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3595392"/>
        <c:crosses val="autoZero"/>
        <c:auto val="1"/>
        <c:lblAlgn val="ctr"/>
        <c:lblOffset val="100"/>
        <c:noMultiLvlLbl val="0"/>
      </c:catAx>
      <c:valAx>
        <c:axId val="1343595392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133534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Caixinha!$A$10</c:f>
              <c:strCache>
                <c:ptCount val="1"/>
                <c:pt idx="0">
                  <c:v>Total reservado </c:v>
                </c:pt>
              </c:strCache>
            </c:strRef>
          </c:tx>
          <c:spPr>
            <a:pattFill prst="ltDnDiag">
              <a:fgClr>
                <a:schemeClr val="accent2">
                  <a:shade val="76000"/>
                </a:schemeClr>
              </a:fgClr>
              <a:bgClr>
                <a:schemeClr val="accent2">
                  <a:shade val="76000"/>
                  <a:lumMod val="20000"/>
                  <a:lumOff val="80000"/>
                </a:schemeClr>
              </a:bgClr>
            </a:pattFill>
            <a:ln>
              <a:solidFill>
                <a:schemeClr val="accent2">
                  <a:shade val="76000"/>
                </a:schemeClr>
              </a:solidFill>
            </a:ln>
            <a:effectLst/>
            <a:sp3d>
              <a:contourClr>
                <a:schemeClr val="accent2">
                  <a:shade val="76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Caixinha!$B$10</c:f>
              <c:numCache>
                <c:formatCode>_("R$"* #,##0.00_);_("R$"* \(#,##0.00\);_("R$"* "-"??_);_(@_)</c:formatCode>
                <c:ptCount val="1"/>
                <c:pt idx="0">
                  <c:v>1108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2-4B1A-A995-B0907762582E}"/>
            </c:ext>
          </c:extLst>
        </c:ser>
        <c:ser>
          <c:idx val="1"/>
          <c:order val="1"/>
          <c:tx>
            <c:strRef>
              <c:f>Caixinha!$A$11</c:f>
              <c:strCache>
                <c:ptCount val="1"/>
                <c:pt idx="0">
                  <c:v>Meta de reserva </c:v>
                </c:pt>
              </c:strCache>
            </c:strRef>
          </c:tx>
          <c:spPr>
            <a:pattFill prst="ltDnDiag">
              <a:fgClr>
                <a:schemeClr val="accent2">
                  <a:tint val="77000"/>
                </a:schemeClr>
              </a:fgClr>
              <a:bgClr>
                <a:schemeClr val="accent2">
                  <a:tint val="77000"/>
                  <a:lumMod val="20000"/>
                  <a:lumOff val="80000"/>
                </a:schemeClr>
              </a:bgClr>
            </a:pattFill>
            <a:ln>
              <a:solidFill>
                <a:schemeClr val="accent2">
                  <a:tint val="77000"/>
                </a:schemeClr>
              </a:solidFill>
            </a:ln>
            <a:effectLst/>
            <a:sp3d>
              <a:contourClr>
                <a:schemeClr val="accent2">
                  <a:tint val="77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Caixinha!$B$11</c:f>
              <c:numCache>
                <c:formatCode>_("R$"* #,##0.00_);_("R$"* \(#,##0.00\);_("R$"* "-"??_);_(@_)</c:formatCode>
                <c:ptCount val="1"/>
                <c:pt idx="0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42-4B1A-A995-B090776258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70498688"/>
        <c:axId val="2034015280"/>
        <c:axId val="0"/>
      </c:bar3DChart>
      <c:catAx>
        <c:axId val="4704986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4015280"/>
        <c:crosses val="autoZero"/>
        <c:auto val="1"/>
        <c:lblAlgn val="ctr"/>
        <c:lblOffset val="100"/>
        <c:noMultiLvlLbl val="0"/>
      </c:catAx>
      <c:valAx>
        <c:axId val="2034015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47049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155575</xdr:colOff>
      <xdr:row>2</xdr:row>
      <xdr:rowOff>3175</xdr:rowOff>
    </xdr:from>
    <xdr:to>
      <xdr:col>10</xdr:col>
      <xdr:colOff>460375</xdr:colOff>
      <xdr:row>16</xdr:row>
      <xdr:rowOff>168275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4B3A7D-2F35-5116-9A52-A57AD2087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431695</xdr:colOff>
      <xdr:row>5</xdr:row>
      <xdr:rowOff>121596</xdr:rowOff>
    </xdr:from>
    <xdr:to>
      <xdr:col>10</xdr:col>
      <xdr:colOff>385053</xdr:colOff>
      <xdr:row>22</xdr:row>
      <xdr:rowOff>97039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207465E0-89E6-2B44-E211-34D534636BEC}"/>
            </a:ext>
          </a:extLst>
        </xdr:cNvPr>
        <xdr:cNvGrpSpPr/>
      </xdr:nvGrpSpPr>
      <xdr:grpSpPr>
        <a:xfrm>
          <a:off x="2052972" y="1033564"/>
          <a:ext cx="5425166" cy="3076135"/>
          <a:chOff x="1683253" y="393095"/>
          <a:chExt cx="7630081" cy="3437062"/>
        </a:xfrm>
      </xdr:grpSpPr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5BBE4108-E9CB-F6A4-7842-69DAD51DDD0E}"/>
              </a:ext>
            </a:extLst>
          </xdr:cNvPr>
          <xdr:cNvGrpSpPr/>
        </xdr:nvGrpSpPr>
        <xdr:grpSpPr>
          <a:xfrm>
            <a:off x="1683253" y="393095"/>
            <a:ext cx="7630081" cy="3437062"/>
            <a:chOff x="1683253" y="393095"/>
            <a:chExt cx="7630081" cy="3437062"/>
          </a:xfrm>
        </xdr:grpSpPr>
        <xdr:sp macro="" textlink="">
          <xdr:nvSpPr>
            <xdr:cNvPr id="4" name="Retângulo: Cantos Arredondados 3">
              <a:extLst>
                <a:ext uri="{FF2B5EF4-FFF2-40B4-BE49-F238E27FC236}">
                  <a16:creationId xmlns:a16="http://schemas.microsoft.com/office/drawing/2014/main" id="{EC925252-87C3-5A8A-6EFC-63924153E131}"/>
                </a:ext>
              </a:extLst>
            </xdr:cNvPr>
            <xdr:cNvSpPr/>
          </xdr:nvSpPr>
          <xdr:spPr>
            <a:xfrm>
              <a:off x="1683255" y="393095"/>
              <a:ext cx="7630079" cy="3437062"/>
            </a:xfrm>
            <a:prstGeom prst="round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588DF58-479E-4364-B5CC-704587FE9711}"/>
                </a:ext>
              </a:extLst>
            </xdr:cNvPr>
            <xdr:cNvGraphicFramePr>
              <a:graphicFrameLocks/>
            </xdr:cNvGraphicFramePr>
          </xdr:nvGraphicFramePr>
          <xdr:xfrm>
            <a:off x="2057346" y="1000343"/>
            <a:ext cx="6843887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5" name="Retângulo: Cantos Superiores Arredondados 4">
              <a:extLst>
                <a:ext uri="{FF2B5EF4-FFF2-40B4-BE49-F238E27FC236}">
                  <a16:creationId xmlns:a16="http://schemas.microsoft.com/office/drawing/2014/main" id="{A7024B68-3AA5-8A7A-B359-66BF76B8EBCF}"/>
                </a:ext>
              </a:extLst>
            </xdr:cNvPr>
            <xdr:cNvSpPr/>
          </xdr:nvSpPr>
          <xdr:spPr>
            <a:xfrm>
              <a:off x="1683253" y="393096"/>
              <a:ext cx="7620000" cy="483809"/>
            </a:xfrm>
            <a:prstGeom prst="round2SameRect">
              <a:avLst/>
            </a:prstGeom>
            <a:solidFill>
              <a:srgbClr val="C00000"/>
            </a:solidFill>
          </xdr:spPr>
          <xdr:style>
            <a:lnRef idx="2">
              <a:schemeClr val="accent5">
                <a:shade val="15000"/>
              </a:schemeClr>
            </a:lnRef>
            <a:fillRef idx="1">
              <a:schemeClr val="accent5"/>
            </a:fillRef>
            <a:effectRef idx="0">
              <a:schemeClr val="accent5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solidFill>
                  <a:srgbClr val="C00000"/>
                </a:solidFill>
              </a:endParaRPr>
            </a:p>
          </xdr:txBody>
        </xdr:sp>
      </xdr:grpSp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B8B3DA52-0283-4A45-E615-5AAAF58A36FE}"/>
              </a:ext>
            </a:extLst>
          </xdr:cNvPr>
          <xdr:cNvSpPr txBox="1"/>
        </xdr:nvSpPr>
        <xdr:spPr>
          <a:xfrm>
            <a:off x="2947225" y="425910"/>
            <a:ext cx="5120317" cy="404964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2000">
                <a:solidFill>
                  <a:schemeClr val="bg1"/>
                </a:solidFill>
                <a:latin typeface="Amasis MT Pro Black" panose="020F0502020204030204" pitchFamily="18" charset="0"/>
              </a:rPr>
              <a:t>ENTRADAS</a:t>
            </a:r>
          </a:p>
        </xdr:txBody>
      </xdr:sp>
    </xdr:grpSp>
    <xdr:clientData/>
  </xdr:twoCellAnchor>
  <xdr:twoCellAnchor>
    <xdr:from>
      <xdr:col>11</xdr:col>
      <xdr:colOff>27021</xdr:colOff>
      <xdr:row>5</xdr:row>
      <xdr:rowOff>108084</xdr:rowOff>
    </xdr:from>
    <xdr:to>
      <xdr:col>19</xdr:col>
      <xdr:colOff>243191</xdr:colOff>
      <xdr:row>22</xdr:row>
      <xdr:rowOff>40531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8E65B8CB-5C79-E6A8-F227-F29A61101B7F}"/>
            </a:ext>
          </a:extLst>
        </xdr:cNvPr>
        <xdr:cNvGrpSpPr/>
      </xdr:nvGrpSpPr>
      <xdr:grpSpPr>
        <a:xfrm>
          <a:off x="7728085" y="1020052"/>
          <a:ext cx="5080000" cy="3033139"/>
          <a:chOff x="3265714" y="4767542"/>
          <a:chExt cx="5846031" cy="3447142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D9DC0B8B-F308-DCF4-7B48-5BA426B31BDF}"/>
              </a:ext>
            </a:extLst>
          </xdr:cNvPr>
          <xdr:cNvGrpSpPr/>
        </xdr:nvGrpSpPr>
        <xdr:grpSpPr>
          <a:xfrm>
            <a:off x="3265714" y="4767542"/>
            <a:ext cx="5846031" cy="3447142"/>
            <a:chOff x="2842381" y="4757462"/>
            <a:chExt cx="5846031" cy="3447142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3E4D4332-B2B5-CC24-36F9-A25CC6A05104}"/>
                </a:ext>
              </a:extLst>
            </xdr:cNvPr>
            <xdr:cNvSpPr/>
          </xdr:nvSpPr>
          <xdr:spPr>
            <a:xfrm>
              <a:off x="2842381" y="4797779"/>
              <a:ext cx="5846031" cy="3406825"/>
            </a:xfrm>
            <a:prstGeom prst="round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C6A6854-9514-4976-8FA5-A8FC16B4FE24}"/>
                </a:ext>
              </a:extLst>
            </xdr:cNvPr>
            <xdr:cNvGraphicFramePr>
              <a:graphicFrameLocks/>
            </xdr:cNvGraphicFramePr>
          </xdr:nvGraphicFramePr>
          <xdr:xfrm>
            <a:off x="3467302" y="5362222"/>
            <a:ext cx="4572001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8" name="Retângulo: Cantos Superiores Arredondados 7">
              <a:extLst>
                <a:ext uri="{FF2B5EF4-FFF2-40B4-BE49-F238E27FC236}">
                  <a16:creationId xmlns:a16="http://schemas.microsoft.com/office/drawing/2014/main" id="{04DAC4BC-95C9-431E-8411-C278210E7118}"/>
                </a:ext>
              </a:extLst>
            </xdr:cNvPr>
            <xdr:cNvSpPr/>
          </xdr:nvSpPr>
          <xdr:spPr>
            <a:xfrm>
              <a:off x="2853666" y="4757462"/>
              <a:ext cx="5834745" cy="524126"/>
            </a:xfrm>
            <a:prstGeom prst="round2SameRect">
              <a:avLst>
                <a:gd name="adj1" fmla="val 16667"/>
                <a:gd name="adj2" fmla="val 0"/>
              </a:avLst>
            </a:prstGeom>
            <a:solidFill>
              <a:srgbClr val="C00000"/>
            </a:solidFill>
          </xdr:spPr>
          <xdr:style>
            <a:lnRef idx="2">
              <a:schemeClr val="accent5">
                <a:shade val="15000"/>
              </a:schemeClr>
            </a:lnRef>
            <a:fillRef idx="1">
              <a:schemeClr val="accent5"/>
            </a:fillRef>
            <a:effectRef idx="0">
              <a:schemeClr val="accent5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sp macro="" textlink="">
        <xdr:nvSpPr>
          <xdr:cNvPr id="13" name="CaixaDeTexto 12">
            <a:extLst>
              <a:ext uri="{FF2B5EF4-FFF2-40B4-BE49-F238E27FC236}">
                <a16:creationId xmlns:a16="http://schemas.microsoft.com/office/drawing/2014/main" id="{2A64A295-1050-40EC-9B8F-13E88B9FB264}"/>
              </a:ext>
            </a:extLst>
          </xdr:cNvPr>
          <xdr:cNvSpPr txBox="1"/>
        </xdr:nvSpPr>
        <xdr:spPr>
          <a:xfrm>
            <a:off x="3690258" y="4829225"/>
            <a:ext cx="5120316" cy="360574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2000">
                <a:solidFill>
                  <a:schemeClr val="bg1"/>
                </a:solidFill>
                <a:latin typeface="Amasis MT Pro Black" panose="020F0502020204030204" pitchFamily="18" charset="0"/>
              </a:rPr>
              <a:t>SAÍDAS</a:t>
            </a:r>
          </a:p>
        </xdr:txBody>
      </xdr:sp>
    </xdr:grpSp>
    <xdr:clientData/>
  </xdr:twoCellAnchor>
  <xdr:twoCellAnchor editAs="oneCell">
    <xdr:from>
      <xdr:col>0</xdr:col>
      <xdr:colOff>201586</xdr:colOff>
      <xdr:row>5</xdr:row>
      <xdr:rowOff>40318</xdr:rowOff>
    </xdr:from>
    <xdr:to>
      <xdr:col>0</xdr:col>
      <xdr:colOff>1414436</xdr:colOff>
      <xdr:row>19</xdr:row>
      <xdr:rowOff>24443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Mês">
              <a:extLst>
                <a:ext uri="{FF2B5EF4-FFF2-40B4-BE49-F238E27FC236}">
                  <a16:creationId xmlns:a16="http://schemas.microsoft.com/office/drawing/2014/main" id="{7612C040-A888-4604-8C42-DABDB3777A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586" y="952286"/>
              <a:ext cx="1212850" cy="25376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332619</xdr:colOff>
      <xdr:row>0</xdr:row>
      <xdr:rowOff>161270</xdr:rowOff>
    </xdr:from>
    <xdr:to>
      <xdr:col>20</xdr:col>
      <xdr:colOff>40318</xdr:colOff>
      <xdr:row>4</xdr:row>
      <xdr:rowOff>141112</xdr:rowOff>
    </xdr:to>
    <xdr:sp macro="" textlink="">
      <xdr:nvSpPr>
        <xdr:cNvPr id="19" name="Retângulo: Cantos Arredondados 18">
          <a:extLst>
            <a:ext uri="{FF2B5EF4-FFF2-40B4-BE49-F238E27FC236}">
              <a16:creationId xmlns:a16="http://schemas.microsoft.com/office/drawing/2014/main" id="{DF859857-9BEF-4AB9-9B03-4BAC6BA212CC}"/>
            </a:ext>
          </a:extLst>
        </xdr:cNvPr>
        <xdr:cNvSpPr/>
      </xdr:nvSpPr>
      <xdr:spPr>
        <a:xfrm>
          <a:off x="1955397" y="161270"/>
          <a:ext cx="11198175" cy="70555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483810</xdr:colOff>
      <xdr:row>1</xdr:row>
      <xdr:rowOff>131031</xdr:rowOff>
    </xdr:from>
    <xdr:to>
      <xdr:col>2</xdr:col>
      <xdr:colOff>574524</xdr:colOff>
      <xdr:row>3</xdr:row>
      <xdr:rowOff>171349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2C7197FF-6605-CB16-CD31-177063BAC487}"/>
            </a:ext>
          </a:extLst>
        </xdr:cNvPr>
        <xdr:cNvSpPr/>
      </xdr:nvSpPr>
      <xdr:spPr>
        <a:xfrm>
          <a:off x="2106588" y="312460"/>
          <a:ext cx="695476" cy="403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120952</xdr:colOff>
      <xdr:row>1</xdr:row>
      <xdr:rowOff>70553</xdr:rowOff>
    </xdr:from>
    <xdr:to>
      <xdr:col>6</xdr:col>
      <xdr:colOff>524127</xdr:colOff>
      <xdr:row>3</xdr:row>
      <xdr:rowOff>171347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94CEFD7C-2797-AB7C-252F-C3163B200312}"/>
            </a:ext>
          </a:extLst>
        </xdr:cNvPr>
        <xdr:cNvSpPr txBox="1"/>
      </xdr:nvSpPr>
      <xdr:spPr>
        <a:xfrm>
          <a:off x="2953254" y="251982"/>
          <a:ext cx="2217460" cy="46365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ffectLst>
          <a:softEdge rad="635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>
              <a:latin typeface="Aharoni" panose="02010803020104030203" pitchFamily="2" charset="-79"/>
              <a:cs typeface="Aharoni" panose="02010803020104030203" pitchFamily="2" charset="-79"/>
            </a:rPr>
            <a:t>Bom</a:t>
          </a:r>
          <a:r>
            <a:rPr lang="pt-BR" sz="1800" baseline="0">
              <a:latin typeface="Aharoni" panose="02010803020104030203" pitchFamily="2" charset="-79"/>
              <a:cs typeface="Aharoni" panose="02010803020104030203" pitchFamily="2" charset="-79"/>
            </a:rPr>
            <a:t> dia, Vanessa</a:t>
          </a:r>
          <a:endParaRPr lang="pt-BR" sz="1800"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>
    <xdr:from>
      <xdr:col>3</xdr:col>
      <xdr:colOff>112082</xdr:colOff>
      <xdr:row>2</xdr:row>
      <xdr:rowOff>112081</xdr:rowOff>
    </xdr:from>
    <xdr:to>
      <xdr:col>10</xdr:col>
      <xdr:colOff>80635</xdr:colOff>
      <xdr:row>3</xdr:row>
      <xdr:rowOff>151190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4736AF93-AE66-43BB-ACB5-711CC603C61E}"/>
            </a:ext>
          </a:extLst>
        </xdr:cNvPr>
        <xdr:cNvSpPr txBox="1"/>
      </xdr:nvSpPr>
      <xdr:spPr>
        <a:xfrm>
          <a:off x="2944384" y="474938"/>
          <a:ext cx="4201886" cy="22053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ffectLst>
          <a:softEdge rad="6350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75000"/>
                </a:schemeClr>
              </a:solidFill>
              <a:latin typeface="+mj-lt"/>
              <a:cs typeface="Aharoni" panose="02010803020104030203" pitchFamily="2" charset="-79"/>
            </a:rPr>
            <a:t>Acompanhamento financeiro </a:t>
          </a:r>
        </a:p>
      </xdr:txBody>
    </xdr:sp>
    <xdr:clientData/>
  </xdr:twoCellAnchor>
  <xdr:twoCellAnchor editAs="oneCell">
    <xdr:from>
      <xdr:col>1</xdr:col>
      <xdr:colOff>288228</xdr:colOff>
      <xdr:row>0</xdr:row>
      <xdr:rowOff>0</xdr:rowOff>
    </xdr:from>
    <xdr:to>
      <xdr:col>3</xdr:col>
      <xdr:colOff>88889</xdr:colOff>
      <xdr:row>4</xdr:row>
      <xdr:rowOff>94575</xdr:rowOff>
    </xdr:to>
    <xdr:pic>
      <xdr:nvPicPr>
        <xdr:cNvPr id="26" name="Imagem 25" descr="Empresária explicando e segurando uma caneca">
          <a:extLst>
            <a:ext uri="{FF2B5EF4-FFF2-40B4-BE49-F238E27FC236}">
              <a16:creationId xmlns:a16="http://schemas.microsoft.com/office/drawing/2014/main" id="{F9B43EBF-CF7D-F949-55AF-9C6025D6C5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1857" b="49717"/>
        <a:stretch/>
      </xdr:blipFill>
      <xdr:spPr>
        <a:xfrm>
          <a:off x="1909505" y="0"/>
          <a:ext cx="1016618" cy="824149"/>
        </a:xfrm>
        <a:prstGeom prst="rect">
          <a:avLst/>
        </a:prstGeom>
      </xdr:spPr>
    </xdr:pic>
    <xdr:clientData/>
  </xdr:twoCellAnchor>
  <xdr:twoCellAnchor>
    <xdr:from>
      <xdr:col>1</xdr:col>
      <xdr:colOff>439095</xdr:colOff>
      <xdr:row>24</xdr:row>
      <xdr:rowOff>155373</xdr:rowOff>
    </xdr:from>
    <xdr:to>
      <xdr:col>10</xdr:col>
      <xdr:colOff>392453</xdr:colOff>
      <xdr:row>41</xdr:row>
      <xdr:rowOff>130817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0C0D1E13-C4E4-49CE-B675-2DC19031C622}"/>
            </a:ext>
          </a:extLst>
        </xdr:cNvPr>
        <xdr:cNvGrpSpPr/>
      </xdr:nvGrpSpPr>
      <xdr:grpSpPr>
        <a:xfrm>
          <a:off x="2060372" y="4532820"/>
          <a:ext cx="5425166" cy="3076135"/>
          <a:chOff x="1683253" y="393095"/>
          <a:chExt cx="7630081" cy="3437062"/>
        </a:xfrm>
      </xdr:grpSpPr>
      <xdr:grpSp>
        <xdr:nvGrpSpPr>
          <xdr:cNvPr id="28" name="Agrupar 27">
            <a:extLst>
              <a:ext uri="{FF2B5EF4-FFF2-40B4-BE49-F238E27FC236}">
                <a16:creationId xmlns:a16="http://schemas.microsoft.com/office/drawing/2014/main" id="{7E480C2F-98BF-7D55-4626-5BCE24B7BEA3}"/>
              </a:ext>
            </a:extLst>
          </xdr:cNvPr>
          <xdr:cNvGrpSpPr/>
        </xdr:nvGrpSpPr>
        <xdr:grpSpPr>
          <a:xfrm>
            <a:off x="1683253" y="393095"/>
            <a:ext cx="7630081" cy="3437062"/>
            <a:chOff x="1683253" y="393095"/>
            <a:chExt cx="7630081" cy="3437062"/>
          </a:xfrm>
        </xdr:grpSpPr>
        <xdr:sp macro="" textlink="">
          <xdr:nvSpPr>
            <xdr:cNvPr id="30" name="Retângulo: Cantos Arredondados 29">
              <a:extLst>
                <a:ext uri="{FF2B5EF4-FFF2-40B4-BE49-F238E27FC236}">
                  <a16:creationId xmlns:a16="http://schemas.microsoft.com/office/drawing/2014/main" id="{91C2EBF8-67E5-1E1F-0F0A-7BD77E038BDD}"/>
                </a:ext>
              </a:extLst>
            </xdr:cNvPr>
            <xdr:cNvSpPr/>
          </xdr:nvSpPr>
          <xdr:spPr>
            <a:xfrm>
              <a:off x="1683255" y="393095"/>
              <a:ext cx="7630079" cy="3437062"/>
            </a:xfrm>
            <a:prstGeom prst="round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2" name="Retângulo: Cantos Superiores Arredondados 31">
              <a:extLst>
                <a:ext uri="{FF2B5EF4-FFF2-40B4-BE49-F238E27FC236}">
                  <a16:creationId xmlns:a16="http://schemas.microsoft.com/office/drawing/2014/main" id="{D8B6A13C-838A-86A6-7049-ACFF563DC488}"/>
                </a:ext>
              </a:extLst>
            </xdr:cNvPr>
            <xdr:cNvSpPr/>
          </xdr:nvSpPr>
          <xdr:spPr>
            <a:xfrm>
              <a:off x="1683253" y="393096"/>
              <a:ext cx="7620000" cy="483809"/>
            </a:xfrm>
            <a:prstGeom prst="round2SameRect">
              <a:avLst/>
            </a:prstGeom>
            <a:solidFill>
              <a:srgbClr val="C00000"/>
            </a:solidFill>
          </xdr:spPr>
          <xdr:style>
            <a:lnRef idx="2">
              <a:schemeClr val="accent5">
                <a:shade val="15000"/>
              </a:schemeClr>
            </a:lnRef>
            <a:fillRef idx="1">
              <a:schemeClr val="accent5"/>
            </a:fillRef>
            <a:effectRef idx="0">
              <a:schemeClr val="accent5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solidFill>
                  <a:srgbClr val="C00000"/>
                </a:solidFill>
              </a:endParaRPr>
            </a:p>
          </xdr:txBody>
        </xdr:sp>
      </xdr:grpSp>
      <xdr:sp macro="" textlink="">
        <xdr:nvSpPr>
          <xdr:cNvPr id="29" name="CaixaDeTexto 28">
            <a:extLst>
              <a:ext uri="{FF2B5EF4-FFF2-40B4-BE49-F238E27FC236}">
                <a16:creationId xmlns:a16="http://schemas.microsoft.com/office/drawing/2014/main" id="{734CCD3D-4078-9BE3-8CB3-BF6A9BA0EB61}"/>
              </a:ext>
            </a:extLst>
          </xdr:cNvPr>
          <xdr:cNvSpPr txBox="1"/>
        </xdr:nvSpPr>
        <xdr:spPr>
          <a:xfrm>
            <a:off x="2947225" y="425910"/>
            <a:ext cx="5120317" cy="404964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2000">
                <a:solidFill>
                  <a:schemeClr val="bg1"/>
                </a:solidFill>
                <a:latin typeface="Amasis MT Pro Black" panose="020F0502020204030204" pitchFamily="18" charset="0"/>
              </a:rPr>
              <a:t>ECONOMIAS</a:t>
            </a:r>
          </a:p>
        </xdr:txBody>
      </xdr:sp>
    </xdr:grpSp>
    <xdr:clientData/>
  </xdr:twoCellAnchor>
  <xdr:twoCellAnchor>
    <xdr:from>
      <xdr:col>3</xdr:col>
      <xdr:colOff>101330</xdr:colOff>
      <xdr:row>27</xdr:row>
      <xdr:rowOff>182392</xdr:rowOff>
    </xdr:from>
    <xdr:to>
      <xdr:col>9</xdr:col>
      <xdr:colOff>121597</xdr:colOff>
      <xdr:row>40</xdr:row>
      <xdr:rowOff>74848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83C422A9-B9BF-42E8-B461-E4F408B8C7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ssa Dall Agnol Brandao" refreshedDate="45670.629222222226" createdVersion="8" refreshedVersion="8" minRefreshableVersion="3" recordCount="16" xr:uid="{20CEB001-22AB-4482-BAC5-BC3A6506B1AB}">
  <cacheSource type="worksheet">
    <worksheetSource name="Tabela1"/>
  </cacheSource>
  <cacheFields count="8">
    <cacheField name="Data" numFmtId="14">
      <sharedItems containsSemiMixedTypes="0" containsNonDate="0" containsDate="1" containsString="0" minDate="2025-01-05T00:00:00" maxDate="2025-03-21T00:00:00"/>
    </cacheField>
    <cacheField name="Mês" numFmtId="0">
      <sharedItems containsSemiMixedTypes="0" containsString="0" containsNumber="1" containsInteger="1" minValue="1" maxValue="3" count="3">
        <n v="1"/>
        <n v="2"/>
        <n v="3"/>
      </sharedItems>
    </cacheField>
    <cacheField name="Tipo" numFmtId="0">
      <sharedItems count="3">
        <s v="Saida"/>
        <s v="Entrada "/>
        <s v="Saida " u="1"/>
      </sharedItems>
    </cacheField>
    <cacheField name="Categoria " numFmtId="0">
      <sharedItems count="3">
        <s v="Moradia"/>
        <s v="Pet"/>
        <s v="Trabalho"/>
      </sharedItems>
    </cacheField>
    <cacheField name="Descrição " numFmtId="0">
      <sharedItems/>
    </cacheField>
    <cacheField name="Valor" numFmtId="44">
      <sharedItems containsSemiMixedTypes="0" containsString="0" containsNumber="1" containsInteger="1" minValue="65" maxValue="7000"/>
    </cacheField>
    <cacheField name="Operação Bancaria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107228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d v="2025-01-05T00:00:00"/>
    <x v="0"/>
    <x v="0"/>
    <x v="0"/>
    <s v="Aluguel"/>
    <n v="2700"/>
    <s v="PIX"/>
    <s v="Pago"/>
  </r>
  <r>
    <d v="2025-01-05T00:00:00"/>
    <x v="0"/>
    <x v="0"/>
    <x v="0"/>
    <s v="Condominio"/>
    <n v="650"/>
    <s v="Boleto "/>
    <s v="Pago"/>
  </r>
  <r>
    <d v="2025-01-08T00:00:00"/>
    <x v="0"/>
    <x v="0"/>
    <x v="1"/>
    <s v="Ração"/>
    <n v="65"/>
    <s v="Cartão"/>
    <s v="Pago"/>
  </r>
  <r>
    <d v="2025-01-10T00:00:00"/>
    <x v="0"/>
    <x v="0"/>
    <x v="0"/>
    <s v="internet "/>
    <n v="109"/>
    <s v="Boleto "/>
    <s v="Pendente "/>
  </r>
  <r>
    <d v="2025-02-20T00:00:00"/>
    <x v="1"/>
    <x v="1"/>
    <x v="2"/>
    <s v="Salario"/>
    <n v="7000"/>
    <s v="TED"/>
    <s v="Pendente "/>
  </r>
  <r>
    <d v="2025-02-20T00:00:00"/>
    <x v="1"/>
    <x v="0"/>
    <x v="1"/>
    <s v="Hotel (dezembro)"/>
    <n v="350"/>
    <s v="PIX"/>
    <s v="Pendente "/>
  </r>
  <r>
    <d v="2025-02-05T00:00:00"/>
    <x v="1"/>
    <x v="0"/>
    <x v="0"/>
    <s v="Aluguel"/>
    <n v="2700"/>
    <s v="PIX"/>
    <s v="Pago"/>
  </r>
  <r>
    <d v="2025-02-05T00:00:00"/>
    <x v="1"/>
    <x v="0"/>
    <x v="0"/>
    <s v="Condominio"/>
    <n v="650"/>
    <s v="Boleto "/>
    <s v="Pago"/>
  </r>
  <r>
    <d v="2025-02-08T00:00:00"/>
    <x v="1"/>
    <x v="0"/>
    <x v="1"/>
    <s v="Ração"/>
    <n v="65"/>
    <s v="Cartão"/>
    <s v="Pago"/>
  </r>
  <r>
    <d v="2025-02-10T00:00:00"/>
    <x v="1"/>
    <x v="0"/>
    <x v="0"/>
    <s v="internet "/>
    <n v="109"/>
    <s v="Boleto "/>
    <s v="Pendente "/>
  </r>
  <r>
    <d v="2025-03-20T00:00:00"/>
    <x v="2"/>
    <x v="1"/>
    <x v="2"/>
    <s v="Salario"/>
    <n v="7000"/>
    <s v="TED"/>
    <s v="Pendente "/>
  </r>
  <r>
    <d v="2025-03-20T00:00:00"/>
    <x v="2"/>
    <x v="0"/>
    <x v="1"/>
    <s v="Hotel (dezembro)"/>
    <n v="350"/>
    <s v="PIX"/>
    <s v="Pendente "/>
  </r>
  <r>
    <d v="2025-03-05T00:00:00"/>
    <x v="2"/>
    <x v="0"/>
    <x v="0"/>
    <s v="Aluguel"/>
    <n v="2700"/>
    <s v="PIX"/>
    <s v="Pago"/>
  </r>
  <r>
    <d v="2025-03-05T00:00:00"/>
    <x v="2"/>
    <x v="0"/>
    <x v="0"/>
    <s v="Condominio"/>
    <n v="650"/>
    <s v="Boleto "/>
    <s v="Pago"/>
  </r>
  <r>
    <d v="2025-03-08T00:00:00"/>
    <x v="2"/>
    <x v="0"/>
    <x v="1"/>
    <s v="Ração"/>
    <n v="65"/>
    <s v="Cartão"/>
    <s v="Pago"/>
  </r>
  <r>
    <d v="2025-03-10T00:00:00"/>
    <x v="2"/>
    <x v="0"/>
    <x v="0"/>
    <s v="internet "/>
    <n v="109"/>
    <s v="Boleto "/>
    <s v="Pendente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A497F-E89F-4DB1-8345-9BB0E656D91D}" name="Tabela dinâmica4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E3:F5" firstHeaderRow="1" firstDataRow="1" firstDataCol="1" rowPageCount="1" colPageCount="1"/>
  <pivotFields count="8">
    <pivotField numFmtId="14" showAll="0"/>
    <pivotField showAll="0"/>
    <pivotField axis="axisPage" showAll="0">
      <items count="4">
        <item x="1"/>
        <item x="0"/>
        <item m="1"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numFmtId="44" showAll="0"/>
    <pivotField showAll="0"/>
    <pivotField showAll="0"/>
  </pivotFields>
  <rowFields count="1">
    <field x="3"/>
  </rowFields>
  <rowItems count="2">
    <i>
      <x v="2"/>
    </i>
    <i t="grand">
      <x/>
    </i>
  </rowItems>
  <colItems count="1">
    <i/>
  </colItems>
  <pageFields count="1">
    <pageField fld="2" item="0" hier="-1"/>
  </pageFields>
  <dataFields count="1">
    <dataField name="Soma de Valor" fld="5" baseField="2" baseItem="2" numFmtId="16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B0971-3214-40D8-AB5A-2BD406F25A05}" name="Tabela dinâmica3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6" firstHeaderRow="1" firstDataRow="1" firstDataCol="1" rowPageCount="1" colPageCount="1"/>
  <pivotFields count="8">
    <pivotField numFmtId="14" showAll="0"/>
    <pivotField showAll="0">
      <items count="4">
        <item h="1" x="0"/>
        <item h="1" x="1"/>
        <item x="2"/>
        <item t="default"/>
      </items>
    </pivotField>
    <pivotField axis="axisPage" showAll="0">
      <items count="4">
        <item x="1"/>
        <item x="0"/>
        <item m="1"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numFmtId="44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item="1" hier="-1"/>
  </pageFields>
  <dataFields count="1">
    <dataField name="Soma de Valor" fld="5" baseField="2" baseItem="0" numFmtId="164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CD98DA3A-B422-4D77-94F5-70D5B1C20BA5}" sourceName="Mês">
  <pivotTables>
    <pivotTable tabId="4" name="Tabela dinâmica3"/>
  </pivotTables>
  <data>
    <tabular pivotCacheId="10722846">
      <items count="3">
        <i x="0"/>
        <i x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335A3C1F-2F4F-4F58-A7C0-83E6D13B65B3}" cache="SegmentaçãodeDados_Mês" caption="Mês" style="Outr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A8B9B9-4F5E-4BD3-A426-CC6FBC525EC7}" name="Tabela1" displayName="Tabela1" ref="A1:H17" totalsRowShown="0" headerRowDxfId="11" dataDxfId="12">
  <autoFilter ref="A1:H17" xr:uid="{98A8B9B9-4F5E-4BD3-A426-CC6FBC525EC7}"/>
  <sortState xmlns:xlrd2="http://schemas.microsoft.com/office/spreadsheetml/2017/richdata2" ref="A2:H7">
    <sortCondition ref="A1:A7"/>
  </sortState>
  <tableColumns count="8">
    <tableColumn id="1" xr3:uid="{F33320C9-C954-44F9-8A3D-7E0B3822E443}" name="Data" dataDxfId="10"/>
    <tableColumn id="8" xr3:uid="{379B4C63-E049-45C6-979F-1D4D86B13E97}" name="Mês" dataDxfId="8"/>
    <tableColumn id="2" xr3:uid="{C4ABA099-1A3B-4E31-A4FC-F83AA1799CA0}" name="Tipo" dataDxfId="9"/>
    <tableColumn id="3" xr3:uid="{0924B072-FB23-48F3-8A66-D0C66247FBC4}" name="Categoria " dataDxfId="15"/>
    <tableColumn id="4" xr3:uid="{66B2506A-CB41-4D0C-95EF-E42A49CA1405}" name="Descrição " dataDxfId="14"/>
    <tableColumn id="5" xr3:uid="{6B69AE2F-73F0-4F32-9A07-AEF1223A953D}" name="Valor" dataDxfId="13" dataCellStyle="Moeda"/>
    <tableColumn id="6" xr3:uid="{088EAAA4-8538-4E07-A7FA-56EBC04B00CA}" name="Operação Bancaria"/>
    <tableColumn id="7" xr3:uid="{803231CA-344D-4B37-929A-02761904B349}" name="Status"/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FEB5F4-080F-4684-A6D4-9FCCCF8D0605}" name="Tabela2" displayName="Tabela2" ref="A1:B8" totalsRowShown="0">
  <autoFilter ref="A1:B8" xr:uid="{9DFEB5F4-080F-4684-A6D4-9FCCCF8D0605}"/>
  <tableColumns count="2">
    <tableColumn id="1" xr3:uid="{8466344F-2DA7-4D17-B987-8DE00B4458E9}" name="Data de lançamento" dataDxfId="1"/>
    <tableColumn id="2" xr3:uid="{5AC448D1-B012-4498-BB32-77F7F96A66CA}" name="Depósito reservado " dataDxfId="0" dataCellStyle="Moeda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26F3D-06C7-43E4-AA26-4B21D9089335}">
  <sheetPr>
    <tabColor theme="4" tint="-0.249977111117893"/>
  </sheetPr>
  <dimension ref="A1:H17"/>
  <sheetViews>
    <sheetView tabSelected="1" workbookViewId="0">
      <selection sqref="A1:XFD1048576"/>
    </sheetView>
  </sheetViews>
  <sheetFormatPr defaultRowHeight="14.5" x14ac:dyDescent="0.35"/>
  <cols>
    <col min="1" max="1" width="11.90625" style="1" customWidth="1"/>
    <col min="2" max="2" width="11.90625" style="8" customWidth="1"/>
    <col min="3" max="4" width="11.90625" style="1" customWidth="1"/>
    <col min="5" max="5" width="15.54296875" style="1" bestFit="1" customWidth="1"/>
    <col min="6" max="6" width="11.90625" style="3" customWidth="1"/>
    <col min="7" max="7" width="20.36328125" customWidth="1"/>
    <col min="8" max="8" width="11" customWidth="1"/>
  </cols>
  <sheetData>
    <row r="1" spans="1:8" x14ac:dyDescent="0.35">
      <c r="A1" s="1" t="s">
        <v>0</v>
      </c>
      <c r="B1" s="8" t="s">
        <v>27</v>
      </c>
      <c r="C1" s="1" t="s">
        <v>1</v>
      </c>
      <c r="D1" s="1" t="s">
        <v>4</v>
      </c>
      <c r="E1" s="1" t="s">
        <v>2</v>
      </c>
      <c r="F1" s="3" t="s">
        <v>3</v>
      </c>
      <c r="G1" s="1" t="s">
        <v>5</v>
      </c>
      <c r="H1" s="1" t="s">
        <v>6</v>
      </c>
    </row>
    <row r="2" spans="1:8" x14ac:dyDescent="0.35">
      <c r="A2" s="2">
        <v>45662</v>
      </c>
      <c r="B2" s="8">
        <v>1</v>
      </c>
      <c r="C2" s="1" t="s">
        <v>10</v>
      </c>
      <c r="D2" s="1" t="s">
        <v>11</v>
      </c>
      <c r="E2" s="1" t="s">
        <v>13</v>
      </c>
      <c r="F2" s="3">
        <v>2700</v>
      </c>
      <c r="G2" t="s">
        <v>14</v>
      </c>
      <c r="H2" t="s">
        <v>17</v>
      </c>
    </row>
    <row r="3" spans="1:8" x14ac:dyDescent="0.35">
      <c r="A3" s="2">
        <v>45662</v>
      </c>
      <c r="B3" s="8">
        <v>1</v>
      </c>
      <c r="C3" s="1" t="s">
        <v>10</v>
      </c>
      <c r="D3" s="1" t="s">
        <v>11</v>
      </c>
      <c r="E3" s="1" t="s">
        <v>15</v>
      </c>
      <c r="F3" s="3">
        <v>650</v>
      </c>
      <c r="G3" t="s">
        <v>16</v>
      </c>
      <c r="H3" t="s">
        <v>17</v>
      </c>
    </row>
    <row r="4" spans="1:8" x14ac:dyDescent="0.35">
      <c r="A4" s="2">
        <v>45665</v>
      </c>
      <c r="B4" s="8">
        <v>1</v>
      </c>
      <c r="C4" s="1" t="s">
        <v>10</v>
      </c>
      <c r="D4" s="1" t="s">
        <v>24</v>
      </c>
      <c r="E4" s="1" t="s">
        <v>25</v>
      </c>
      <c r="F4" s="3">
        <v>65</v>
      </c>
      <c r="G4" t="s">
        <v>26</v>
      </c>
      <c r="H4" t="s">
        <v>17</v>
      </c>
    </row>
    <row r="5" spans="1:8" x14ac:dyDescent="0.35">
      <c r="A5" s="2">
        <v>45667</v>
      </c>
      <c r="B5" s="8">
        <v>1</v>
      </c>
      <c r="C5" s="1" t="s">
        <v>10</v>
      </c>
      <c r="D5" s="1" t="s">
        <v>11</v>
      </c>
      <c r="E5" s="1" t="s">
        <v>18</v>
      </c>
      <c r="F5" s="3">
        <v>109</v>
      </c>
      <c r="G5" t="s">
        <v>16</v>
      </c>
      <c r="H5" t="s">
        <v>19</v>
      </c>
    </row>
    <row r="6" spans="1:8" x14ac:dyDescent="0.35">
      <c r="A6" s="2">
        <v>45708</v>
      </c>
      <c r="B6" s="8">
        <v>2</v>
      </c>
      <c r="C6" s="1" t="s">
        <v>9</v>
      </c>
      <c r="D6" s="1" t="s">
        <v>12</v>
      </c>
      <c r="E6" s="1" t="s">
        <v>7</v>
      </c>
      <c r="F6" s="3">
        <v>7000</v>
      </c>
      <c r="G6" t="s">
        <v>8</v>
      </c>
      <c r="H6" t="s">
        <v>19</v>
      </c>
    </row>
    <row r="7" spans="1:8" x14ac:dyDescent="0.35">
      <c r="A7" s="2">
        <v>45708</v>
      </c>
      <c r="B7" s="8">
        <v>2</v>
      </c>
      <c r="C7" s="1" t="s">
        <v>10</v>
      </c>
      <c r="D7" s="1" t="s">
        <v>24</v>
      </c>
      <c r="E7" s="1" t="s">
        <v>22</v>
      </c>
      <c r="F7" s="3">
        <v>350</v>
      </c>
      <c r="G7" t="s">
        <v>14</v>
      </c>
      <c r="H7" t="s">
        <v>19</v>
      </c>
    </row>
    <row r="8" spans="1:8" x14ac:dyDescent="0.35">
      <c r="A8" s="2">
        <v>45693</v>
      </c>
      <c r="B8" s="8">
        <v>2</v>
      </c>
      <c r="C8" s="1" t="s">
        <v>10</v>
      </c>
      <c r="D8" s="1" t="s">
        <v>11</v>
      </c>
      <c r="E8" s="1" t="s">
        <v>13</v>
      </c>
      <c r="F8" s="3">
        <v>2700</v>
      </c>
      <c r="G8" t="s">
        <v>14</v>
      </c>
      <c r="H8" t="s">
        <v>17</v>
      </c>
    </row>
    <row r="9" spans="1:8" x14ac:dyDescent="0.35">
      <c r="A9" s="2">
        <v>45693</v>
      </c>
      <c r="B9" s="8">
        <v>2</v>
      </c>
      <c r="C9" s="1" t="s">
        <v>10</v>
      </c>
      <c r="D9" s="1" t="s">
        <v>11</v>
      </c>
      <c r="E9" s="1" t="s">
        <v>15</v>
      </c>
      <c r="F9" s="3">
        <v>650</v>
      </c>
      <c r="G9" t="s">
        <v>16</v>
      </c>
      <c r="H9" t="s">
        <v>17</v>
      </c>
    </row>
    <row r="10" spans="1:8" x14ac:dyDescent="0.35">
      <c r="A10" s="2">
        <v>45696</v>
      </c>
      <c r="B10" s="8">
        <v>2</v>
      </c>
      <c r="C10" s="1" t="s">
        <v>10</v>
      </c>
      <c r="D10" s="1" t="s">
        <v>24</v>
      </c>
      <c r="E10" s="1" t="s">
        <v>25</v>
      </c>
      <c r="F10" s="3">
        <v>65</v>
      </c>
      <c r="G10" t="s">
        <v>26</v>
      </c>
      <c r="H10" t="s">
        <v>17</v>
      </c>
    </row>
    <row r="11" spans="1:8" x14ac:dyDescent="0.35">
      <c r="A11" s="2">
        <v>45698</v>
      </c>
      <c r="B11" s="8">
        <v>2</v>
      </c>
      <c r="C11" s="1" t="s">
        <v>10</v>
      </c>
      <c r="D11" s="1" t="s">
        <v>11</v>
      </c>
      <c r="E11" s="1" t="s">
        <v>18</v>
      </c>
      <c r="F11" s="3">
        <v>109</v>
      </c>
      <c r="G11" t="s">
        <v>16</v>
      </c>
      <c r="H11" t="s">
        <v>19</v>
      </c>
    </row>
    <row r="12" spans="1:8" x14ac:dyDescent="0.35">
      <c r="A12" s="2">
        <v>45736</v>
      </c>
      <c r="B12" s="8">
        <v>3</v>
      </c>
      <c r="C12" s="1" t="s">
        <v>9</v>
      </c>
      <c r="D12" s="1" t="s">
        <v>12</v>
      </c>
      <c r="E12" s="1" t="s">
        <v>7</v>
      </c>
      <c r="F12" s="3">
        <v>7000</v>
      </c>
      <c r="G12" t="s">
        <v>8</v>
      </c>
      <c r="H12" t="s">
        <v>19</v>
      </c>
    </row>
    <row r="13" spans="1:8" x14ac:dyDescent="0.35">
      <c r="A13" s="2">
        <v>45736</v>
      </c>
      <c r="B13" s="8">
        <v>3</v>
      </c>
      <c r="C13" s="1" t="s">
        <v>10</v>
      </c>
      <c r="D13" s="1" t="s">
        <v>24</v>
      </c>
      <c r="E13" s="1" t="s">
        <v>22</v>
      </c>
      <c r="F13" s="3">
        <v>350</v>
      </c>
      <c r="G13" t="s">
        <v>14</v>
      </c>
      <c r="H13" t="s">
        <v>19</v>
      </c>
    </row>
    <row r="14" spans="1:8" x14ac:dyDescent="0.35">
      <c r="A14" s="2">
        <v>45721</v>
      </c>
      <c r="B14" s="8">
        <v>3</v>
      </c>
      <c r="C14" s="1" t="s">
        <v>10</v>
      </c>
      <c r="D14" s="1" t="s">
        <v>11</v>
      </c>
      <c r="E14" s="1" t="s">
        <v>13</v>
      </c>
      <c r="F14" s="3">
        <v>2700</v>
      </c>
      <c r="G14" t="s">
        <v>14</v>
      </c>
      <c r="H14" t="s">
        <v>17</v>
      </c>
    </row>
    <row r="15" spans="1:8" x14ac:dyDescent="0.35">
      <c r="A15" s="2">
        <v>45721</v>
      </c>
      <c r="B15" s="8">
        <v>3</v>
      </c>
      <c r="C15" s="1" t="s">
        <v>10</v>
      </c>
      <c r="D15" s="1" t="s">
        <v>11</v>
      </c>
      <c r="E15" s="1" t="s">
        <v>15</v>
      </c>
      <c r="F15" s="3">
        <v>650</v>
      </c>
      <c r="G15" t="s">
        <v>16</v>
      </c>
      <c r="H15" t="s">
        <v>17</v>
      </c>
    </row>
    <row r="16" spans="1:8" x14ac:dyDescent="0.35">
      <c r="A16" s="2">
        <v>45724</v>
      </c>
      <c r="B16" s="8">
        <v>3</v>
      </c>
      <c r="C16" s="1" t="s">
        <v>10</v>
      </c>
      <c r="D16" s="1" t="s">
        <v>24</v>
      </c>
      <c r="E16" s="1" t="s">
        <v>25</v>
      </c>
      <c r="F16" s="3">
        <v>65</v>
      </c>
      <c r="G16" t="s">
        <v>26</v>
      </c>
      <c r="H16" t="s">
        <v>17</v>
      </c>
    </row>
    <row r="17" spans="1:8" x14ac:dyDescent="0.35">
      <c r="A17" s="2">
        <v>45726</v>
      </c>
      <c r="B17" s="8">
        <v>3</v>
      </c>
      <c r="C17" s="1" t="s">
        <v>10</v>
      </c>
      <c r="D17" s="1" t="s">
        <v>11</v>
      </c>
      <c r="E17" s="1" t="s">
        <v>18</v>
      </c>
      <c r="F17" s="3">
        <v>109</v>
      </c>
      <c r="G17" t="s">
        <v>16</v>
      </c>
      <c r="H17" t="s">
        <v>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0B33-94A6-4E75-B0DC-0AE455C854FF}">
  <sheetPr>
    <tabColor theme="4" tint="-0.249977111117893"/>
  </sheetPr>
  <dimension ref="A1:B11"/>
  <sheetViews>
    <sheetView workbookViewId="0">
      <selection activeCell="O16" sqref="O16"/>
    </sheetView>
  </sheetViews>
  <sheetFormatPr defaultRowHeight="14.5" x14ac:dyDescent="0.35"/>
  <cols>
    <col min="1" max="1" width="19.54296875" customWidth="1"/>
    <col min="2" max="2" width="20.81640625" style="11" customWidth="1"/>
  </cols>
  <sheetData>
    <row r="1" spans="1:2" x14ac:dyDescent="0.35">
      <c r="A1" t="s">
        <v>28</v>
      </c>
      <c r="B1" s="11" t="s">
        <v>29</v>
      </c>
    </row>
    <row r="2" spans="1:2" x14ac:dyDescent="0.35">
      <c r="A2" s="10">
        <v>45603</v>
      </c>
      <c r="B2" s="11">
        <v>253</v>
      </c>
    </row>
    <row r="3" spans="1:2" x14ac:dyDescent="0.35">
      <c r="A3" s="10">
        <v>45604</v>
      </c>
      <c r="B3" s="11">
        <v>21</v>
      </c>
    </row>
    <row r="4" spans="1:2" x14ac:dyDescent="0.35">
      <c r="A4" s="10">
        <v>45605</v>
      </c>
      <c r="B4" s="11">
        <v>57</v>
      </c>
    </row>
    <row r="5" spans="1:2" x14ac:dyDescent="0.35">
      <c r="A5" s="10">
        <v>45606</v>
      </c>
      <c r="B5" s="11">
        <v>580</v>
      </c>
    </row>
    <row r="6" spans="1:2" x14ac:dyDescent="0.35">
      <c r="A6" s="10">
        <v>45607</v>
      </c>
      <c r="B6" s="11">
        <v>51</v>
      </c>
    </row>
    <row r="7" spans="1:2" x14ac:dyDescent="0.35">
      <c r="A7" s="10">
        <v>45608</v>
      </c>
      <c r="B7" s="11">
        <v>56</v>
      </c>
    </row>
    <row r="8" spans="1:2" x14ac:dyDescent="0.35">
      <c r="A8" s="10">
        <v>45609</v>
      </c>
      <c r="B8" s="11">
        <v>90</v>
      </c>
    </row>
    <row r="10" spans="1:2" x14ac:dyDescent="0.35">
      <c r="A10" s="12" t="s">
        <v>30</v>
      </c>
      <c r="B10" s="13">
        <f>SUM(Tabela2[[Depósito reservado ]])</f>
        <v>1108</v>
      </c>
    </row>
    <row r="11" spans="1:2" x14ac:dyDescent="0.35">
      <c r="A11" s="12" t="s">
        <v>31</v>
      </c>
      <c r="B11" s="13">
        <v>5000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7506-E139-4A0D-BF67-AE447BB8B5A4}">
  <sheetPr>
    <tabColor theme="4" tint="-0.249977111117893"/>
  </sheetPr>
  <dimension ref="A1:F6"/>
  <sheetViews>
    <sheetView workbookViewId="0">
      <selection activeCell="B4" sqref="B4"/>
    </sheetView>
  </sheetViews>
  <sheetFormatPr defaultRowHeight="14.5" x14ac:dyDescent="0.35"/>
  <cols>
    <col min="1" max="1" width="17" bestFit="1" customWidth="1"/>
    <col min="2" max="2" width="13" bestFit="1" customWidth="1"/>
    <col min="5" max="5" width="17" bestFit="1" customWidth="1"/>
    <col min="6" max="6" width="13" bestFit="1" customWidth="1"/>
  </cols>
  <sheetData>
    <row r="1" spans="1:6" x14ac:dyDescent="0.35">
      <c r="A1" s="4" t="s">
        <v>1</v>
      </c>
      <c r="B1" t="s">
        <v>10</v>
      </c>
      <c r="E1" s="4" t="s">
        <v>1</v>
      </c>
      <c r="F1" t="s">
        <v>9</v>
      </c>
    </row>
    <row r="3" spans="1:6" x14ac:dyDescent="0.35">
      <c r="A3" s="4" t="s">
        <v>20</v>
      </c>
      <c r="B3" t="s">
        <v>23</v>
      </c>
      <c r="E3" s="4" t="s">
        <v>20</v>
      </c>
      <c r="F3" t="s">
        <v>23</v>
      </c>
    </row>
    <row r="4" spans="1:6" x14ac:dyDescent="0.35">
      <c r="A4" s="5" t="s">
        <v>11</v>
      </c>
      <c r="B4" s="6">
        <v>3459</v>
      </c>
      <c r="E4" s="5" t="s">
        <v>12</v>
      </c>
      <c r="F4" s="6">
        <v>14000</v>
      </c>
    </row>
    <row r="5" spans="1:6" x14ac:dyDescent="0.35">
      <c r="A5" s="5" t="s">
        <v>24</v>
      </c>
      <c r="B5" s="6">
        <v>415</v>
      </c>
      <c r="E5" s="5" t="s">
        <v>21</v>
      </c>
      <c r="F5" s="6">
        <v>14000</v>
      </c>
    </row>
    <row r="6" spans="1:6" x14ac:dyDescent="0.35">
      <c r="A6" s="5" t="s">
        <v>21</v>
      </c>
      <c r="B6" s="6">
        <v>3874</v>
      </c>
    </row>
  </sheetData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386CE-7CB5-4BE3-8247-EF4C0CCDC732}">
  <sheetPr>
    <tabColor theme="0"/>
  </sheetPr>
  <dimension ref="A1:V1"/>
  <sheetViews>
    <sheetView topLeftCell="A22" zoomScale="94" zoomScaleNormal="94" workbookViewId="0">
      <selection activeCell="M29" sqref="M29"/>
    </sheetView>
  </sheetViews>
  <sheetFormatPr defaultColWidth="0" defaultRowHeight="14.5" x14ac:dyDescent="0.35"/>
  <cols>
    <col min="1" max="1" width="23.1796875" style="9" customWidth="1"/>
    <col min="2" max="21" width="8.7265625" style="7" customWidth="1"/>
    <col min="22" max="22" width="0" hidden="1" customWidth="1"/>
    <col min="23" max="16384" width="8.7265625" hidden="1"/>
  </cols>
  <sheetData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</vt:lpstr>
      <vt:lpstr>Caixinha</vt:lpstr>
      <vt:lpstr>Controller</vt:lpstr>
      <vt:lpstr>Dashboard</vt:lpstr>
    </vt:vector>
  </TitlesOfParts>
  <Company>Caixa Economica Federal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Dall Agnol Brandao</dc:creator>
  <cp:lastModifiedBy>Vanessa Dall Agnol Brandao</cp:lastModifiedBy>
  <dcterms:created xsi:type="dcterms:W3CDTF">2025-01-13T16:40:35Z</dcterms:created>
  <dcterms:modified xsi:type="dcterms:W3CDTF">2025-01-13T18:29:35Z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33b259-87ee-4762-9a8c-7b0d155dd87f_Enabled">
    <vt:lpwstr>true</vt:lpwstr>
  </property>
  <property fmtid="{D5CDD505-2E9C-101B-9397-08002B2CF9AE}" pid="3" name="MSIP_Label_9333b259-87ee-4762-9a8c-7b0d155dd87f_SetDate">
    <vt:lpwstr>2025-01-13T18:29:35Z</vt:lpwstr>
  </property>
  <property fmtid="{D5CDD505-2E9C-101B-9397-08002B2CF9AE}" pid="4" name="MSIP_Label_9333b259-87ee-4762-9a8c-7b0d155dd87f_Method">
    <vt:lpwstr>Privileged</vt:lpwstr>
  </property>
  <property fmtid="{D5CDD505-2E9C-101B-9397-08002B2CF9AE}" pid="5" name="MSIP_Label_9333b259-87ee-4762-9a8c-7b0d155dd87f_Name">
    <vt:lpwstr>_PESSOAL</vt:lpwstr>
  </property>
  <property fmtid="{D5CDD505-2E9C-101B-9397-08002B2CF9AE}" pid="6" name="MSIP_Label_9333b259-87ee-4762-9a8c-7b0d155dd87f_SiteId">
    <vt:lpwstr>ab9bba98-684a-43fb-add8-9c2bebede229</vt:lpwstr>
  </property>
  <property fmtid="{D5CDD505-2E9C-101B-9397-08002B2CF9AE}" pid="7" name="MSIP_Label_9333b259-87ee-4762-9a8c-7b0d155dd87f_ActionId">
    <vt:lpwstr>f887553e-b879-428a-8bc3-9fcee0b9f552</vt:lpwstr>
  </property>
  <property fmtid="{D5CDD505-2E9C-101B-9397-08002B2CF9AE}" pid="8" name="MSIP_Label_9333b259-87ee-4762-9a8c-7b0d155dd87f_ContentBits">
    <vt:lpwstr>1</vt:lpwstr>
  </property>
</Properties>
</file>